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nsungukamukotelo/LigaUnitelGiraBola/outputs/clubes-liga-unitel-girabola/"/>
    </mc:Choice>
  </mc:AlternateContent>
  <xr:revisionPtr revIDLastSave="0" documentId="13_ncr:1_{C8A64C80-0590-3844-B6DE-A0BB7B32338A}" xr6:coauthVersionLast="47" xr6:coauthVersionMax="47" xr10:uidLastSave="{00000000-0000-0000-0000-000000000000}"/>
  <bookViews>
    <workbookView xWindow="0" yWindow="680" windowWidth="34560" windowHeight="17600" activeTab="1" xr2:uid="{00000000-000D-0000-FFFF-FFFF00000000}"/>
  </bookViews>
  <sheets>
    <sheet name="Resumo" sheetId="1" r:id="rId1"/>
    <sheet name="Clubes" sheetId="2" r:id="rId2"/>
    <sheet name="Palmaré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" l="1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B8" i="1"/>
  <c r="B7" i="1"/>
  <c r="B6" i="1"/>
  <c r="B5" i="1"/>
</calcChain>
</file>

<file path=xl/sharedStrings.xml><?xml version="1.0" encoding="utf-8"?>
<sst xmlns="http://schemas.openxmlformats.org/spreadsheetml/2006/main" count="270" uniqueCount="200">
  <si>
    <t>BASE DE CLUBES · LIGA UNITEL GIRABOLA</t>
  </si>
  <si>
    <t>Indicador</t>
  </si>
  <si>
    <t>Valor</t>
  </si>
  <si>
    <t>Como utilizar esta base</t>
  </si>
  <si>
    <t>Equipas participantes</t>
  </si>
  <si>
    <t>Atualize os dados no separador Clubes e os títulos no separador Palmarés. Use a coluna Estado para identificar informação confirmada ou ainda pendente de validação. O campo Total de Títulos é calculado automaticamente.</t>
  </si>
  <si>
    <t>Clubes atualizados</t>
  </si>
  <si>
    <t>Dados por confirmar</t>
  </si>
  <si>
    <t>Total de títulos registados</t>
  </si>
  <si>
    <t>INFORMAÇÃO INSTITUCIONAL DOS 16 CLUBES</t>
  </si>
  <si>
    <t>Base editável para atualizações da Liga Unitel Girabola · época 2026/27</t>
  </si>
  <si>
    <t>ID</t>
  </si>
  <si>
    <t>Clube</t>
  </si>
  <si>
    <t>Denominação oficial</t>
  </si>
  <si>
    <t>Sigla</t>
  </si>
  <si>
    <t>Apelido</t>
  </si>
  <si>
    <t>Cidade</t>
  </si>
  <si>
    <t>Estádio</t>
  </si>
  <si>
    <t>Capacidade</t>
  </si>
  <si>
    <t>Fundação</t>
  </si>
  <si>
    <t>Treinador</t>
  </si>
  <si>
    <t>Presidente</t>
  </si>
  <si>
    <t>Cores do clube</t>
  </si>
  <si>
    <t>Equipamento principal</t>
  </si>
  <si>
    <t>Equipamento secundário</t>
  </si>
  <si>
    <t>Website</t>
  </si>
  <si>
    <t>Estado</t>
  </si>
  <si>
    <t>Atualizado em</t>
  </si>
  <si>
    <t>Observações</t>
  </si>
  <si>
    <t>petro</t>
  </si>
  <si>
    <t>Petro de Luanda</t>
  </si>
  <si>
    <t>Atlético Petróleos de Luanda</t>
  </si>
  <si>
    <t>PET</t>
  </si>
  <si>
    <t>Tricolores</t>
  </si>
  <si>
    <t>Luanda</t>
  </si>
  <si>
    <t>Estádio 11 de Novembro</t>
  </si>
  <si>
    <t>Ricardo Chéu</t>
  </si>
  <si>
    <t>Tomás Faria</t>
  </si>
  <si>
    <t>Amarelo, Azul e Vermelho</t>
  </si>
  <si>
    <t>Amarelo</t>
  </si>
  <si>
    <t>Preto</t>
  </si>
  <si>
    <t>https://petroatletico.co.ao/</t>
  </si>
  <si>
    <t>Atualizado</t>
  </si>
  <si>
    <t>wiliete</t>
  </si>
  <si>
    <t>Wiliete de Benguela</t>
  </si>
  <si>
    <t>Wiliete Sport Clube de Benguela</t>
  </si>
  <si>
    <t>WIL</t>
  </si>
  <si>
    <t>Wilietes</t>
  </si>
  <si>
    <t>Benguela</t>
  </si>
  <si>
    <t>Estádio Nacional de Ombaka</t>
  </si>
  <si>
    <t>Beto Bianchi</t>
  </si>
  <si>
    <t>Wilson Faria</t>
  </si>
  <si>
    <t>Verde e Amarelo</t>
  </si>
  <si>
    <t>Branco e Verde</t>
  </si>
  <si>
    <t>https://wilietesc.ao/</t>
  </si>
  <si>
    <t>dago</t>
  </si>
  <si>
    <t>CD 1.º de Agosto</t>
  </si>
  <si>
    <t>Clube Desportivo 1.º de Agosto</t>
  </si>
  <si>
    <t>1AG</t>
  </si>
  <si>
    <t>Militares</t>
  </si>
  <si>
    <t>Estádio França Ndalu</t>
  </si>
  <si>
    <t>Filipe Nzanza</t>
  </si>
  <si>
    <t>Gouveia de Sá Miranda</t>
  </si>
  <si>
    <t>Vermelho e Preto</t>
  </si>
  <si>
    <t>Preto e Vermelho</t>
  </si>
  <si>
    <t>desphuila</t>
  </si>
  <si>
    <t>Desportivo da Huíla</t>
  </si>
  <si>
    <t>Clube Desportivo da Huíla</t>
  </si>
  <si>
    <t>CDH</t>
  </si>
  <si>
    <t>Huilanos</t>
  </si>
  <si>
    <t>Lubango</t>
  </si>
  <si>
    <t>Estádio da Tundavala</t>
  </si>
  <si>
    <t>Mário Soares</t>
  </si>
  <si>
    <t>Vermelho e Branco</t>
  </si>
  <si>
    <t>Branco e Vermelho</t>
  </si>
  <si>
    <t>Por confirmar</t>
  </si>
  <si>
    <t>bravos</t>
  </si>
  <si>
    <t>Bravos do Maquis</t>
  </si>
  <si>
    <t>Futebol Clube Bravos do Maquis</t>
  </si>
  <si>
    <t>BMQ</t>
  </si>
  <si>
    <t>MAQUISARDES</t>
  </si>
  <si>
    <t>Luena</t>
  </si>
  <si>
    <t>Estádio Mundunduleno</t>
  </si>
  <si>
    <t>Sandro Mendes</t>
  </si>
  <si>
    <t>Azul e Branco</t>
  </si>
  <si>
    <t>Amarelo e Preto</t>
  </si>
  <si>
    <t>https://bravosdomaquis.co.ao/</t>
  </si>
  <si>
    <t>kabuscorp</t>
  </si>
  <si>
    <t>Kabuscorp SC</t>
  </si>
  <si>
    <t>Kabuscorp Sport Clube do Palanca</t>
  </si>
  <si>
    <t>KAB</t>
  </si>
  <si>
    <t>Palanquinos</t>
  </si>
  <si>
    <t>Estádio dos Coqueiros</t>
  </si>
  <si>
    <t>Leo Neiva</t>
  </si>
  <si>
    <t>sagrada</t>
  </si>
  <si>
    <t>Sagrada Esperança</t>
  </si>
  <si>
    <t>Clube Desportivo Sagrada Esperança</t>
  </si>
  <si>
    <t>SAG</t>
  </si>
  <si>
    <t>Lundas</t>
  </si>
  <si>
    <t>Dundo</t>
  </si>
  <si>
    <t>Estádio Sagrada Esperança</t>
  </si>
  <si>
    <t>Francisco Moniz “Tusso”</t>
  </si>
  <si>
    <t>Verde e Preto</t>
  </si>
  <si>
    <t>Preto e Verde</t>
  </si>
  <si>
    <t>interclube</t>
  </si>
  <si>
    <t>GD Interclube</t>
  </si>
  <si>
    <t>Grupo Desportivo Interclube</t>
  </si>
  <si>
    <t>INT</t>
  </si>
  <si>
    <t>Polícias</t>
  </si>
  <si>
    <t>Estádio 22 de Junho</t>
  </si>
  <si>
    <t>Luís Gonçalves</t>
  </si>
  <si>
    <t>Branco e Azul</t>
  </si>
  <si>
    <t>http://interclube.co.ao/</t>
  </si>
  <si>
    <t>lundasul</t>
  </si>
  <si>
    <t>Desportivo da Lunda Sul</t>
  </si>
  <si>
    <t>Clube Desportivo da Lunda-Sul</t>
  </si>
  <si>
    <t>DLS</t>
  </si>
  <si>
    <t>Tchianda</t>
  </si>
  <si>
    <t>Saurimo</t>
  </si>
  <si>
    <t>Estádio das Mangueiras</t>
  </si>
  <si>
    <t>Maurício Marques</t>
  </si>
  <si>
    <t>Amarelo e Verde</t>
  </si>
  <si>
    <t>libolo</t>
  </si>
  <si>
    <t>Recreativo do Libolo</t>
  </si>
  <si>
    <t>Clube Recreativo e Desportivo do Libolo</t>
  </si>
  <si>
    <t>CRL</t>
  </si>
  <si>
    <t>Libolenses</t>
  </si>
  <si>
    <t>Calulo</t>
  </si>
  <si>
    <t>Estádio Municipal de Calulo</t>
  </si>
  <si>
    <t>Hélder Teixeira</t>
  </si>
  <si>
    <t>Laranja e Azul</t>
  </si>
  <si>
    <t>Azul e Laranja</t>
  </si>
  <si>
    <t>lobito</t>
  </si>
  <si>
    <t>Académica do Lobito</t>
  </si>
  <si>
    <t>Académica Petróleos Clube do Lobito</t>
  </si>
  <si>
    <t>ACA</t>
  </si>
  <si>
    <t>Estudantes</t>
  </si>
  <si>
    <t>Lobito</t>
  </si>
  <si>
    <t>Estádio do Buraco</t>
  </si>
  <si>
    <t>João Pintar</t>
  </si>
  <si>
    <t>Preto e Branco</t>
  </si>
  <si>
    <t>Branco e Preto</t>
  </si>
  <si>
    <t>saosalvador</t>
  </si>
  <si>
    <t>São Salvador</t>
  </si>
  <si>
    <t>São Salvador do Kongo Futebol Clube</t>
  </si>
  <si>
    <t>SSK</t>
  </si>
  <si>
    <t>Kongos</t>
  </si>
  <si>
    <t>Mbanza Kongo</t>
  </si>
  <si>
    <t>Estádio Álvaro Buta</t>
  </si>
  <si>
    <t>Findanga Finda</t>
  </si>
  <si>
    <t>Azul e Amarelo</t>
  </si>
  <si>
    <t>Amarelo e Azul</t>
  </si>
  <si>
    <t>cabinda</t>
  </si>
  <si>
    <t>FC Cabinda</t>
  </si>
  <si>
    <t>Futebol Clube de Cabinda</t>
  </si>
  <si>
    <t>FCC</t>
  </si>
  <si>
    <t>Gorilas do Norte</t>
  </si>
  <si>
    <t>Cabinda</t>
  </si>
  <si>
    <t>Estádio Nacional do Chiazi</t>
  </si>
  <si>
    <t>Pedro Gonçalves</t>
  </si>
  <si>
    <t>Verde e Branco</t>
  </si>
  <si>
    <t>https://fccabinda.com/</t>
  </si>
  <si>
    <t>primeiromaio</t>
  </si>
  <si>
    <t>Estrela 1.º de Maio</t>
  </si>
  <si>
    <t>Estrela Clube Primeiro de Maio</t>
  </si>
  <si>
    <t>MAI</t>
  </si>
  <si>
    <t>Proletários</t>
  </si>
  <si>
    <t>Estádio de São Filipe</t>
  </si>
  <si>
    <t>Agostinho Tramagal</t>
  </si>
  <si>
    <t>caala</t>
  </si>
  <si>
    <t>CR Caála</t>
  </si>
  <si>
    <t>Clube Recreativo da Caála</t>
  </si>
  <si>
    <t>CRC</t>
  </si>
  <si>
    <t>Caalenses</t>
  </si>
  <si>
    <t>Caála</t>
  </si>
  <si>
    <t>Estádio dos Mártires da Canhala</t>
  </si>
  <si>
    <t>Mateus Agostinho</t>
  </si>
  <si>
    <t>fcluanda</t>
  </si>
  <si>
    <t>FC Luanda</t>
  </si>
  <si>
    <t>Futebol Clube de Luanda</t>
  </si>
  <si>
    <t>FCL</t>
  </si>
  <si>
    <t>Luandenses</t>
  </si>
  <si>
    <t>Campo da Cidadela</t>
  </si>
  <si>
    <t>Guelson Manuel</t>
  </si>
  <si>
    <t>PALMARÉS DOS CLUBES</t>
  </si>
  <si>
    <t>Valores numéricos e total calculado automaticamente</t>
  </si>
  <si>
    <t>Ligas / Girabola</t>
  </si>
  <si>
    <t>Taças de Angola</t>
  </si>
  <si>
    <t>Supertaças</t>
  </si>
  <si>
    <t>Girabola B</t>
  </si>
  <si>
    <t>Total de Títulos</t>
  </si>
  <si>
    <t>Notas</t>
  </si>
  <si>
    <t>Dados atualizados pelo utilizador</t>
  </si>
  <si>
    <t>1 Taça de Angola e 1 Girabola B</t>
  </si>
  <si>
    <t>13 títulos do Girabola considerados como 13 Ligas</t>
  </si>
  <si>
    <t>1 Taça de Angola</t>
  </si>
  <si>
    <t>1 Liga, 1 Taça e 1 Supertaça</t>
  </si>
  <si>
    <t>Dados-base do portal</t>
  </si>
  <si>
    <t>4 Ligas, 1 Taça e 2 Supertaças</t>
  </si>
  <si>
    <t>2 Ligas, 3 Taças, 1 Supertaça e 2 Girabola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</si>
</sst>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b/>
      <sz val="20"/>
      <color rgb="FFFFFFFF"/>
      <name val="Carlito"/>
    </font>
    <font>
      <b/>
      <sz val="11"/>
      <color rgb="FFFFFFFF"/>
      <name val="Carlito"/>
    </font>
    <font>
      <b/>
      <sz val="14"/>
      <color rgb="FF5C0F8B"/>
      <name val="Carlito"/>
    </font>
    <font>
      <sz val="11"/>
      <color rgb="FF244A35"/>
      <name val="Carlito"/>
    </font>
    <font>
      <b/>
      <sz val="18"/>
      <color rgb="FFFFFFFF"/>
      <name val="Carlito"/>
    </font>
    <font>
      <i/>
      <sz val="11"/>
      <color rgb="FF5C0F8B"/>
      <name val="Carlito"/>
    </font>
    <font>
      <b/>
      <sz val="11"/>
      <color rgb="FF5C0F8B"/>
      <name val="Carlito"/>
    </font>
  </fonts>
  <fills count="8">
    <fill>
      <patternFill patternType="none"/>
    </fill>
    <fill>
      <patternFill patternType="gray125"/>
    </fill>
    <fill>
      <patternFill patternType="solid">
        <fgColor rgb="FF5C0F8B"/>
      </patternFill>
    </fill>
    <fill>
      <patternFill patternType="solid">
        <fgColor rgb="FFE6540F"/>
      </patternFill>
    </fill>
    <fill>
      <patternFill patternType="solid">
        <fgColor rgb="FFF7F4FA"/>
      </patternFill>
    </fill>
    <fill>
      <patternFill patternType="solid">
        <fgColor rgb="FF008751"/>
      </patternFill>
    </fill>
    <fill>
      <patternFill patternType="solid">
        <fgColor rgb="FFF0F8F4"/>
      </patternFill>
    </fill>
    <fill>
      <patternFill patternType="solid">
        <fgColor rgb="FFF1EAF5"/>
      </patternFill>
    </fill>
  </fills>
  <borders count="18">
    <border>
      <left/>
      <right/>
      <top/>
      <bottom/>
      <diagonal/>
    </border>
    <border>
      <left/>
      <right style="thin">
        <color rgb="FFDED7E5"/>
      </right>
      <top/>
      <bottom style="thin">
        <color rgb="FFDED7E5"/>
      </bottom>
      <diagonal/>
    </border>
    <border>
      <left style="thin">
        <color rgb="FFDED7E5"/>
      </left>
      <right/>
      <top/>
      <bottom style="thin">
        <color rgb="FFDED7E5"/>
      </bottom>
      <diagonal/>
    </border>
    <border>
      <left/>
      <right style="thin">
        <color rgb="FFDED7E5"/>
      </right>
      <top style="thin">
        <color rgb="FFDED7E5"/>
      </top>
      <bottom style="thin">
        <color rgb="FFDED7E5"/>
      </bottom>
      <diagonal/>
    </border>
    <border>
      <left style="thin">
        <color rgb="FFDED7E5"/>
      </left>
      <right/>
      <top style="thin">
        <color rgb="FFDED7E5"/>
      </top>
      <bottom style="thin">
        <color rgb="FFDED7E5"/>
      </bottom>
      <diagonal/>
    </border>
    <border>
      <left/>
      <right style="thin">
        <color rgb="FFDED7E5"/>
      </right>
      <top style="thin">
        <color rgb="FFDED7E5"/>
      </top>
      <bottom/>
      <diagonal/>
    </border>
    <border>
      <left style="thin">
        <color rgb="FFDED7E5"/>
      </left>
      <right/>
      <top style="thin">
        <color rgb="FFDED7E5"/>
      </top>
      <bottom/>
      <diagonal/>
    </border>
    <border>
      <left style="thin">
        <color rgb="FFB7D8C4"/>
      </left>
      <right/>
      <top style="thin">
        <color rgb="FFB7D8C4"/>
      </top>
      <bottom/>
      <diagonal/>
    </border>
    <border>
      <left/>
      <right/>
      <top style="thin">
        <color rgb="FFB7D8C4"/>
      </top>
      <bottom/>
      <diagonal/>
    </border>
    <border>
      <left/>
      <right style="thin">
        <color rgb="FFB7D8C4"/>
      </right>
      <top style="thin">
        <color rgb="FFB7D8C4"/>
      </top>
      <bottom/>
      <diagonal/>
    </border>
    <border>
      <left style="thin">
        <color rgb="FFB7D8C4"/>
      </left>
      <right/>
      <top/>
      <bottom/>
      <diagonal/>
    </border>
    <border>
      <left/>
      <right style="thin">
        <color rgb="FFB7D8C4"/>
      </right>
      <top/>
      <bottom/>
      <diagonal/>
    </border>
    <border>
      <left style="thin">
        <color rgb="FFB7D8C4"/>
      </left>
      <right/>
      <top/>
      <bottom style="thin">
        <color rgb="FFB7D8C4"/>
      </bottom>
      <diagonal/>
    </border>
    <border>
      <left/>
      <right/>
      <top/>
      <bottom style="thin">
        <color rgb="FFB7D8C4"/>
      </bottom>
      <diagonal/>
    </border>
    <border>
      <left/>
      <right style="thin">
        <color rgb="FFB7D8C4"/>
      </right>
      <top/>
      <bottom style="thin">
        <color rgb="FFB7D8C4"/>
      </bottom>
      <diagonal/>
    </border>
    <border>
      <left/>
      <right/>
      <top/>
      <bottom style="thin">
        <color rgb="FFE7E2EA"/>
      </bottom>
      <diagonal/>
    </border>
    <border>
      <left/>
      <right/>
      <top style="thin">
        <color rgb="FFE7E2EA"/>
      </top>
      <bottom style="thin">
        <color rgb="FFE7E2EA"/>
      </bottom>
      <diagonal/>
    </border>
    <border>
      <left/>
      <right/>
      <top style="thin">
        <color rgb="FFE7E2EA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0" xfId="0" applyFont="1" applyFill="1"/>
    <xf numFmtId="0" fontId="0" fillId="4" borderId="1" xfId="0" applyFill="1" applyBorder="1"/>
    <xf numFmtId="0" fontId="0" fillId="4" borderId="3" xfId="0" applyFill="1" applyBorder="1"/>
    <xf numFmtId="0" fontId="0" fillId="4" borderId="5" xfId="0" applyFill="1" applyBorder="1"/>
    <xf numFmtId="3" fontId="3" fillId="4" borderId="2" xfId="0" applyNumberFormat="1" applyFont="1" applyFill="1" applyBorder="1"/>
    <xf numFmtId="3" fontId="3" fillId="4" borderId="4" xfId="0" applyNumberFormat="1" applyFont="1" applyFill="1" applyBorder="1"/>
    <xf numFmtId="3" fontId="3" fillId="4" borderId="6" xfId="0" applyNumberFormat="1" applyFont="1" applyFill="1" applyBorder="1"/>
    <xf numFmtId="0" fontId="2" fillId="3" borderId="0" xfId="0" applyFont="1" applyFill="1" applyAlignment="1">
      <alignment vertical="center" wrapText="1"/>
    </xf>
    <xf numFmtId="0" fontId="0" fillId="0" borderId="15" xfId="0" applyBorder="1" applyAlignment="1">
      <alignment vertical="center" wrapText="1"/>
    </xf>
    <xf numFmtId="3" fontId="0" fillId="0" borderId="15" xfId="0" applyNumberFormat="1" applyBorder="1" applyAlignment="1">
      <alignment vertical="center" wrapText="1"/>
    </xf>
    <xf numFmtId="164" fontId="0" fillId="0" borderId="15" xfId="0" applyNumberForma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3" fontId="0" fillId="0" borderId="16" xfId="0" applyNumberFormat="1" applyBorder="1" applyAlignment="1">
      <alignment vertical="center" wrapText="1"/>
    </xf>
    <xf numFmtId="164" fontId="0" fillId="0" borderId="16" xfId="0" applyNumberForma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3" fontId="0" fillId="0" borderId="17" xfId="0" applyNumberFormat="1" applyBorder="1" applyAlignment="1">
      <alignment vertical="center" wrapText="1"/>
    </xf>
    <xf numFmtId="164" fontId="0" fillId="0" borderId="17" xfId="0" applyNumberFormat="1" applyBorder="1" applyAlignment="1">
      <alignment vertical="center" wrapText="1"/>
    </xf>
    <xf numFmtId="3" fontId="7" fillId="7" borderId="15" xfId="0" applyNumberFormat="1" applyFont="1" applyFill="1" applyBorder="1" applyAlignment="1">
      <alignment vertical="center" wrapText="1"/>
    </xf>
    <xf numFmtId="3" fontId="7" fillId="7" borderId="16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4" fillId="6" borderId="7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6" borderId="11" xfId="0" applyFont="1" applyFill="1" applyBorder="1" applyAlignment="1">
      <alignment vertical="center" wrapText="1"/>
    </xf>
    <xf numFmtId="0" fontId="4" fillId="6" borderId="12" xfId="0" applyFont="1" applyFill="1" applyBorder="1" applyAlignment="1">
      <alignment vertical="center" wrapText="1"/>
    </xf>
    <xf numFmtId="0" fontId="4" fillId="6" borderId="13" xfId="0" applyFont="1" applyFill="1" applyBorder="1" applyAlignment="1">
      <alignment vertical="center" wrapText="1"/>
    </xf>
    <xf numFmtId="0" fontId="4" fillId="6" borderId="14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ubesGirabola" displayName="ClubesGirabola" ref="A5:R21" totalsRowShown="0">
  <tableColumns count="18">
    <tableColumn id="1" xr3:uid="{00000000-0010-0000-0000-000001000000}" name="ID"/>
    <tableColumn id="2" xr3:uid="{00000000-0010-0000-0000-000002000000}" name="Clube"/>
    <tableColumn id="3" xr3:uid="{00000000-0010-0000-0000-000003000000}" name="Denominação oficial"/>
    <tableColumn id="4" xr3:uid="{00000000-0010-0000-0000-000004000000}" name="Sigla"/>
    <tableColumn id="5" xr3:uid="{00000000-0010-0000-0000-000005000000}" name="Apelido"/>
    <tableColumn id="6" xr3:uid="{00000000-0010-0000-0000-000006000000}" name="Cidade"/>
    <tableColumn id="7" xr3:uid="{00000000-0010-0000-0000-000007000000}" name="Estádio"/>
    <tableColumn id="8" xr3:uid="{00000000-0010-0000-0000-000008000000}" name="Capacidade"/>
    <tableColumn id="9" xr3:uid="{00000000-0010-0000-0000-000009000000}" name="Fundação"/>
    <tableColumn id="10" xr3:uid="{00000000-0010-0000-0000-00000A000000}" name="Treinador"/>
    <tableColumn id="11" xr3:uid="{00000000-0010-0000-0000-00000B000000}" name="Presidente"/>
    <tableColumn id="12" xr3:uid="{00000000-0010-0000-0000-00000C000000}" name="Cores do clube"/>
    <tableColumn id="13" xr3:uid="{00000000-0010-0000-0000-00000D000000}" name="Equipamento principal"/>
    <tableColumn id="14" xr3:uid="{00000000-0010-0000-0000-00000E000000}" name="Equipamento secundário"/>
    <tableColumn id="15" xr3:uid="{00000000-0010-0000-0000-00000F000000}" name="Website"/>
    <tableColumn id="16" xr3:uid="{00000000-0010-0000-0000-000010000000}" name="Estado"/>
    <tableColumn id="17" xr3:uid="{00000000-0010-0000-0000-000011000000}" name="Atualizado em"/>
    <tableColumn id="18" xr3:uid="{00000000-0010-0000-0000-000012000000}" name="Observaçõ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lmaresGirabola" displayName="PalmaresGirabola" ref="A5:G21" totalsRowShown="0">
  <tableColumns count="7">
    <tableColumn id="1" xr3:uid="{00000000-0010-0000-0100-000001000000}" name="Clube"/>
    <tableColumn id="2" xr3:uid="{00000000-0010-0000-0100-000002000000}" name="Ligas / Girabola"/>
    <tableColumn id="3" xr3:uid="{00000000-0010-0000-0100-000003000000}" name="Taças de Angola"/>
    <tableColumn id="4" xr3:uid="{00000000-0010-0000-0100-000004000000}" name="Supertaças"/>
    <tableColumn id="5" xr3:uid="{00000000-0010-0000-0100-000005000000}" name="Girabola B"/>
    <tableColumn id="6" xr3:uid="{00000000-0010-0000-0100-000006000000}" name="Total de Títulos"/>
    <tableColumn id="7" xr3:uid="{00000000-0010-0000-0100-000007000000}" name="Nota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workbookViewId="0">
      <selection sqref="A1:H2"/>
    </sheetView>
  </sheetViews>
  <sheetFormatPr baseColWidth="10" defaultColWidth="8.83203125" defaultRowHeight="14"/>
  <cols>
    <col min="1" max="1" width="30" customWidth="1"/>
    <col min="2" max="2" width="18" customWidth="1"/>
    <col min="3" max="3" width="4" customWidth="1"/>
    <col min="4" max="8" width="16" customWidth="1"/>
  </cols>
  <sheetData>
    <row r="1" spans="1:8" ht="24" customHeight="1">
      <c r="A1" s="20" t="s">
        <v>0</v>
      </c>
      <c r="B1" s="20"/>
      <c r="C1" s="20"/>
      <c r="D1" s="20"/>
      <c r="E1" s="20"/>
      <c r="F1" s="20"/>
      <c r="G1" s="20"/>
      <c r="H1" s="20"/>
    </row>
    <row r="2" spans="1:8" ht="24" customHeight="1">
      <c r="A2" s="20"/>
      <c r="B2" s="20"/>
      <c r="C2" s="20"/>
      <c r="D2" s="20"/>
      <c r="E2" s="20"/>
      <c r="F2" s="20"/>
      <c r="G2" s="20"/>
      <c r="H2" s="20"/>
    </row>
    <row r="3" spans="1:8" ht="24" customHeight="1"/>
    <row r="4" spans="1:8" ht="24" customHeight="1">
      <c r="A4" s="1" t="s">
        <v>1</v>
      </c>
      <c r="B4" s="1" t="s">
        <v>2</v>
      </c>
      <c r="D4" s="21" t="s">
        <v>3</v>
      </c>
      <c r="E4" s="21"/>
      <c r="F4" s="21"/>
      <c r="G4" s="21"/>
      <c r="H4" s="21"/>
    </row>
    <row r="5" spans="1:8" ht="24" customHeight="1">
      <c r="A5" s="2" t="s">
        <v>4</v>
      </c>
      <c r="B5" s="5">
        <f>COUNTA(Clubes!B6:B21)</f>
        <v>16</v>
      </c>
      <c r="D5" s="22" t="s">
        <v>5</v>
      </c>
      <c r="E5" s="23"/>
      <c r="F5" s="23"/>
      <c r="G5" s="23"/>
      <c r="H5" s="24"/>
    </row>
    <row r="6" spans="1:8" ht="24" customHeight="1">
      <c r="A6" s="3" t="s">
        <v>6</v>
      </c>
      <c r="B6" s="6">
        <f>COUNTIF(Clubes!P6:P21,"Atualizado")</f>
        <v>9</v>
      </c>
      <c r="D6" s="25"/>
      <c r="E6" s="26"/>
      <c r="F6" s="26"/>
      <c r="G6" s="26"/>
      <c r="H6" s="27"/>
    </row>
    <row r="7" spans="1:8" ht="24" customHeight="1">
      <c r="A7" s="3" t="s">
        <v>7</v>
      </c>
      <c r="B7" s="6">
        <f>COUNTIF(Clubes!P6:P21,"Por confirmar")</f>
        <v>7</v>
      </c>
      <c r="D7" s="25"/>
      <c r="E7" s="26"/>
      <c r="F7" s="26"/>
      <c r="G7" s="26"/>
      <c r="H7" s="27"/>
    </row>
    <row r="8" spans="1:8" ht="24" customHeight="1">
      <c r="A8" s="4" t="s">
        <v>8</v>
      </c>
      <c r="B8" s="7">
        <f>SUM(Palmarés!F6:F21)</f>
        <v>101</v>
      </c>
      <c r="D8" s="28"/>
      <c r="E8" s="29"/>
      <c r="F8" s="29"/>
      <c r="G8" s="29"/>
      <c r="H8" s="30"/>
    </row>
  </sheetData>
  <mergeCells count="3">
    <mergeCell ref="A1:H2"/>
    <mergeCell ref="D4:H4"/>
    <mergeCell ref="D5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showGridLines="0" tabSelected="1" workbookViewId="0">
      <selection activeCell="A6" sqref="A6"/>
    </sheetView>
  </sheetViews>
  <sheetFormatPr baseColWidth="10" defaultColWidth="8.83203125" defaultRowHeight="14"/>
  <cols>
    <col min="1" max="1" width="14" customWidth="1"/>
    <col min="2" max="2" width="23" customWidth="1"/>
    <col min="3" max="3" width="36" customWidth="1"/>
    <col min="4" max="4" width="9" customWidth="1"/>
    <col min="5" max="5" width="20" customWidth="1"/>
    <col min="6" max="6" width="15" customWidth="1"/>
    <col min="7" max="7" width="30" customWidth="1"/>
    <col min="8" max="8" width="13" customWidth="1"/>
    <col min="9" max="9" width="11" customWidth="1"/>
    <col min="10" max="10" width="22" customWidth="1"/>
    <col min="11" max="11" width="24" customWidth="1"/>
    <col min="12" max="13" width="25" customWidth="1"/>
    <col min="14" max="14" width="26" customWidth="1"/>
    <col min="15" max="15" width="34" customWidth="1"/>
    <col min="16" max="16" width="16" customWidth="1"/>
    <col min="17" max="17" width="14" customWidth="1"/>
    <col min="18" max="18" width="30" customWidth="1"/>
  </cols>
  <sheetData>
    <row r="1" spans="1:18">
      <c r="A1" s="31" t="s">
        <v>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15">
      <c r="A3" s="32" t="s">
        <v>10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5" spans="1:18" ht="36" customHeight="1">
      <c r="A5" s="8" t="s">
        <v>11</v>
      </c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8" t="s">
        <v>17</v>
      </c>
      <c r="H5" s="8" t="s">
        <v>18</v>
      </c>
      <c r="I5" s="8" t="s">
        <v>19</v>
      </c>
      <c r="J5" s="8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 t="s">
        <v>25</v>
      </c>
      <c r="P5" s="8" t="s">
        <v>26</v>
      </c>
      <c r="Q5" s="8" t="s">
        <v>27</v>
      </c>
      <c r="R5" s="8" t="s">
        <v>28</v>
      </c>
    </row>
    <row r="6" spans="1:18" ht="15">
      <c r="A6" s="9" t="s">
        <v>29</v>
      </c>
      <c r="B6" s="9" t="s">
        <v>30</v>
      </c>
      <c r="C6" s="9" t="s">
        <v>31</v>
      </c>
      <c r="D6" s="9" t="s">
        <v>32</v>
      </c>
      <c r="E6" s="9" t="s">
        <v>33</v>
      </c>
      <c r="F6" s="9" t="s">
        <v>34</v>
      </c>
      <c r="G6" s="9" t="s">
        <v>35</v>
      </c>
      <c r="H6" s="10">
        <v>50000</v>
      </c>
      <c r="I6" s="10">
        <v>1980</v>
      </c>
      <c r="J6" s="9" t="s">
        <v>36</v>
      </c>
      <c r="K6" s="9" t="s">
        <v>37</v>
      </c>
      <c r="L6" s="9" t="s">
        <v>38</v>
      </c>
      <c r="M6" s="9" t="s">
        <v>39</v>
      </c>
      <c r="N6" s="9" t="s">
        <v>40</v>
      </c>
      <c r="O6" s="9" t="s">
        <v>41</v>
      </c>
      <c r="P6" s="9" t="s">
        <v>42</v>
      </c>
      <c r="Q6" s="11">
        <v>46239</v>
      </c>
      <c r="R6" s="9"/>
    </row>
    <row r="7" spans="1:18" ht="15">
      <c r="A7" s="12" t="s">
        <v>43</v>
      </c>
      <c r="B7" s="12" t="s">
        <v>44</v>
      </c>
      <c r="C7" s="12" t="s">
        <v>45</v>
      </c>
      <c r="D7" s="12" t="s">
        <v>46</v>
      </c>
      <c r="E7" s="12" t="s">
        <v>47</v>
      </c>
      <c r="F7" s="12" t="s">
        <v>48</v>
      </c>
      <c r="G7" s="12" t="s">
        <v>49</v>
      </c>
      <c r="H7" s="13">
        <v>35000</v>
      </c>
      <c r="I7" s="13">
        <v>2018</v>
      </c>
      <c r="J7" s="12" t="s">
        <v>50</v>
      </c>
      <c r="K7" s="12" t="s">
        <v>51</v>
      </c>
      <c r="L7" s="12" t="s">
        <v>52</v>
      </c>
      <c r="M7" s="12" t="s">
        <v>52</v>
      </c>
      <c r="N7" s="12" t="s">
        <v>53</v>
      </c>
      <c r="O7" s="12" t="s">
        <v>54</v>
      </c>
      <c r="P7" s="12" t="s">
        <v>42</v>
      </c>
      <c r="Q7" s="14">
        <v>46239</v>
      </c>
      <c r="R7" s="12"/>
    </row>
    <row r="8" spans="1:18" ht="15">
      <c r="A8" s="12" t="s">
        <v>55</v>
      </c>
      <c r="B8" s="12" t="s">
        <v>56</v>
      </c>
      <c r="C8" s="12" t="s">
        <v>57</v>
      </c>
      <c r="D8" s="12" t="s">
        <v>58</v>
      </c>
      <c r="E8" s="12" t="s">
        <v>59</v>
      </c>
      <c r="F8" s="12" t="s">
        <v>34</v>
      </c>
      <c r="G8" s="12" t="s">
        <v>60</v>
      </c>
      <c r="H8" s="13">
        <v>20000</v>
      </c>
      <c r="I8" s="13">
        <v>1977</v>
      </c>
      <c r="J8" s="12" t="s">
        <v>61</v>
      </c>
      <c r="K8" s="12" t="s">
        <v>62</v>
      </c>
      <c r="L8" s="12" t="s">
        <v>63</v>
      </c>
      <c r="M8" s="12" t="s">
        <v>63</v>
      </c>
      <c r="N8" s="12" t="s">
        <v>64</v>
      </c>
      <c r="O8" s="12"/>
      <c r="P8" s="12" t="s">
        <v>42</v>
      </c>
      <c r="Q8" s="14">
        <v>46239</v>
      </c>
      <c r="R8" s="12"/>
    </row>
    <row r="9" spans="1:18" ht="15">
      <c r="A9" s="12" t="s">
        <v>65</v>
      </c>
      <c r="B9" s="12" t="s">
        <v>66</v>
      </c>
      <c r="C9" s="12" t="s">
        <v>67</v>
      </c>
      <c r="D9" s="12" t="s">
        <v>68</v>
      </c>
      <c r="E9" s="12" t="s">
        <v>69</v>
      </c>
      <c r="F9" s="12" t="s">
        <v>70</v>
      </c>
      <c r="G9" s="12" t="s">
        <v>71</v>
      </c>
      <c r="H9" s="13">
        <v>20000</v>
      </c>
      <c r="I9" s="13">
        <v>1998</v>
      </c>
      <c r="J9" s="12" t="s">
        <v>72</v>
      </c>
      <c r="K9" s="12"/>
      <c r="L9" s="12" t="s">
        <v>73</v>
      </c>
      <c r="M9" s="12" t="s">
        <v>73</v>
      </c>
      <c r="N9" s="12" t="s">
        <v>74</v>
      </c>
      <c r="O9" s="12"/>
      <c r="P9" s="12" t="s">
        <v>75</v>
      </c>
      <c r="Q9" s="14">
        <v>46239</v>
      </c>
      <c r="R9" s="12"/>
    </row>
    <row r="10" spans="1:18" ht="15">
      <c r="A10" s="12" t="s">
        <v>76</v>
      </c>
      <c r="B10" s="12" t="s">
        <v>77</v>
      </c>
      <c r="C10" s="12" t="s">
        <v>78</v>
      </c>
      <c r="D10" s="12" t="s">
        <v>79</v>
      </c>
      <c r="E10" s="12" t="s">
        <v>80</v>
      </c>
      <c r="F10" s="12" t="s">
        <v>81</v>
      </c>
      <c r="G10" s="12" t="s">
        <v>82</v>
      </c>
      <c r="H10" s="13">
        <v>4300</v>
      </c>
      <c r="I10" s="13">
        <v>1983</v>
      </c>
      <c r="J10" s="12" t="s">
        <v>83</v>
      </c>
      <c r="K10" s="12"/>
      <c r="L10" s="12" t="s">
        <v>84</v>
      </c>
      <c r="M10" s="12" t="s">
        <v>84</v>
      </c>
      <c r="N10" s="12" t="s">
        <v>85</v>
      </c>
      <c r="O10" s="12" t="s">
        <v>86</v>
      </c>
      <c r="P10" s="12" t="s">
        <v>42</v>
      </c>
      <c r="Q10" s="14">
        <v>46239</v>
      </c>
      <c r="R10" s="12"/>
    </row>
    <row r="11" spans="1:18" ht="15">
      <c r="A11" s="12" t="s">
        <v>87</v>
      </c>
      <c r="B11" s="12" t="s">
        <v>88</v>
      </c>
      <c r="C11" s="12" t="s">
        <v>89</v>
      </c>
      <c r="D11" s="12" t="s">
        <v>90</v>
      </c>
      <c r="E11" s="12" t="s">
        <v>91</v>
      </c>
      <c r="F11" s="12" t="s">
        <v>34</v>
      </c>
      <c r="G11" s="12" t="s">
        <v>92</v>
      </c>
      <c r="H11" s="13">
        <v>12000</v>
      </c>
      <c r="I11" s="13">
        <v>1994</v>
      </c>
      <c r="J11" s="12" t="s">
        <v>93</v>
      </c>
      <c r="K11" s="12"/>
      <c r="L11" s="12" t="s">
        <v>73</v>
      </c>
      <c r="M11" s="12" t="s">
        <v>73</v>
      </c>
      <c r="N11" s="12" t="s">
        <v>74</v>
      </c>
      <c r="O11" s="12"/>
      <c r="P11" s="12" t="s">
        <v>42</v>
      </c>
      <c r="Q11" s="14">
        <v>46239</v>
      </c>
      <c r="R11" s="12"/>
    </row>
    <row r="12" spans="1:18" ht="15">
      <c r="A12" s="12" t="s">
        <v>94</v>
      </c>
      <c r="B12" s="12" t="s">
        <v>95</v>
      </c>
      <c r="C12" s="12" t="s">
        <v>96</v>
      </c>
      <c r="D12" s="12" t="s">
        <v>97</v>
      </c>
      <c r="E12" s="12" t="s">
        <v>98</v>
      </c>
      <c r="F12" s="12" t="s">
        <v>99</v>
      </c>
      <c r="G12" s="12" t="s">
        <v>100</v>
      </c>
      <c r="H12" s="13">
        <v>8000</v>
      </c>
      <c r="I12" s="13">
        <v>1976</v>
      </c>
      <c r="J12" s="12" t="s">
        <v>101</v>
      </c>
      <c r="K12" s="12"/>
      <c r="L12" s="12" t="s">
        <v>102</v>
      </c>
      <c r="M12" s="12" t="s">
        <v>102</v>
      </c>
      <c r="N12" s="12" t="s">
        <v>103</v>
      </c>
      <c r="O12" s="12"/>
      <c r="P12" s="12" t="s">
        <v>75</v>
      </c>
      <c r="Q12" s="14">
        <v>46239</v>
      </c>
      <c r="R12" s="12"/>
    </row>
    <row r="13" spans="1:18" ht="15">
      <c r="A13" s="12" t="s">
        <v>104</v>
      </c>
      <c r="B13" s="12" t="s">
        <v>105</v>
      </c>
      <c r="C13" s="12" t="s">
        <v>106</v>
      </c>
      <c r="D13" s="12" t="s">
        <v>107</v>
      </c>
      <c r="E13" s="12" t="s">
        <v>108</v>
      </c>
      <c r="F13" s="12" t="s">
        <v>34</v>
      </c>
      <c r="G13" s="12" t="s">
        <v>109</v>
      </c>
      <c r="H13" s="13">
        <v>8000</v>
      </c>
      <c r="I13" s="13">
        <v>1976</v>
      </c>
      <c r="J13" s="12" t="s">
        <v>110</v>
      </c>
      <c r="K13" s="12"/>
      <c r="L13" s="12" t="s">
        <v>84</v>
      </c>
      <c r="M13" s="12" t="s">
        <v>84</v>
      </c>
      <c r="N13" s="12" t="s">
        <v>111</v>
      </c>
      <c r="O13" s="12" t="s">
        <v>112</v>
      </c>
      <c r="P13" s="12" t="s">
        <v>75</v>
      </c>
      <c r="Q13" s="14">
        <v>46239</v>
      </c>
      <c r="R13" s="12"/>
    </row>
    <row r="14" spans="1:18" ht="15">
      <c r="A14" s="12" t="s">
        <v>113</v>
      </c>
      <c r="B14" s="12" t="s">
        <v>114</v>
      </c>
      <c r="C14" s="12" t="s">
        <v>115</v>
      </c>
      <c r="D14" s="12" t="s">
        <v>116</v>
      </c>
      <c r="E14" s="12" t="s">
        <v>117</v>
      </c>
      <c r="F14" s="12" t="s">
        <v>118</v>
      </c>
      <c r="G14" s="12" t="s">
        <v>119</v>
      </c>
      <c r="H14" s="13">
        <v>7000</v>
      </c>
      <c r="I14" s="13">
        <v>2020</v>
      </c>
      <c r="J14" s="12" t="s">
        <v>120</v>
      </c>
      <c r="K14" s="12"/>
      <c r="L14" s="12" t="s">
        <v>52</v>
      </c>
      <c r="M14" s="12" t="s">
        <v>52</v>
      </c>
      <c r="N14" s="12" t="s">
        <v>121</v>
      </c>
      <c r="O14" s="12"/>
      <c r="P14" s="12" t="s">
        <v>42</v>
      </c>
      <c r="Q14" s="14">
        <v>46239</v>
      </c>
      <c r="R14" s="12"/>
    </row>
    <row r="15" spans="1:18" ht="15">
      <c r="A15" s="12" t="s">
        <v>122</v>
      </c>
      <c r="B15" s="12" t="s">
        <v>123</v>
      </c>
      <c r="C15" s="12" t="s">
        <v>124</v>
      </c>
      <c r="D15" s="12" t="s">
        <v>125</v>
      </c>
      <c r="E15" s="12" t="s">
        <v>126</v>
      </c>
      <c r="F15" s="12" t="s">
        <v>127</v>
      </c>
      <c r="G15" s="12" t="s">
        <v>128</v>
      </c>
      <c r="H15" s="13">
        <v>10000</v>
      </c>
      <c r="I15" s="13">
        <v>1942</v>
      </c>
      <c r="J15" s="12" t="s">
        <v>129</v>
      </c>
      <c r="K15" s="12"/>
      <c r="L15" s="12" t="s">
        <v>130</v>
      </c>
      <c r="M15" s="12" t="s">
        <v>130</v>
      </c>
      <c r="N15" s="12" t="s">
        <v>131</v>
      </c>
      <c r="O15" s="12"/>
      <c r="P15" s="12" t="s">
        <v>42</v>
      </c>
      <c r="Q15" s="14">
        <v>46239</v>
      </c>
      <c r="R15" s="12"/>
    </row>
    <row r="16" spans="1:18" ht="15">
      <c r="A16" s="12" t="s">
        <v>132</v>
      </c>
      <c r="B16" s="12" t="s">
        <v>133</v>
      </c>
      <c r="C16" s="12" t="s">
        <v>134</v>
      </c>
      <c r="D16" s="12" t="s">
        <v>135</v>
      </c>
      <c r="E16" s="12" t="s">
        <v>136</v>
      </c>
      <c r="F16" s="12" t="s">
        <v>137</v>
      </c>
      <c r="G16" s="12" t="s">
        <v>138</v>
      </c>
      <c r="H16" s="13">
        <v>5000</v>
      </c>
      <c r="I16" s="13">
        <v>1970</v>
      </c>
      <c r="J16" s="12" t="s">
        <v>139</v>
      </c>
      <c r="K16" s="12"/>
      <c r="L16" s="12" t="s">
        <v>140</v>
      </c>
      <c r="M16" s="12" t="s">
        <v>140</v>
      </c>
      <c r="N16" s="12" t="s">
        <v>141</v>
      </c>
      <c r="O16" s="12"/>
      <c r="P16" s="12" t="s">
        <v>75</v>
      </c>
      <c r="Q16" s="14">
        <v>46239</v>
      </c>
      <c r="R16" s="12"/>
    </row>
    <row r="17" spans="1:18" ht="15">
      <c r="A17" s="12" t="s">
        <v>142</v>
      </c>
      <c r="B17" s="12" t="s">
        <v>143</v>
      </c>
      <c r="C17" s="12" t="s">
        <v>144</v>
      </c>
      <c r="D17" s="12" t="s">
        <v>145</v>
      </c>
      <c r="E17" s="12" t="s">
        <v>146</v>
      </c>
      <c r="F17" s="12" t="s">
        <v>147</v>
      </c>
      <c r="G17" s="12" t="s">
        <v>148</v>
      </c>
      <c r="H17" s="13">
        <v>5000</v>
      </c>
      <c r="I17" s="13">
        <v>1999</v>
      </c>
      <c r="J17" s="12" t="s">
        <v>149</v>
      </c>
      <c r="K17" s="12"/>
      <c r="L17" s="12" t="s">
        <v>150</v>
      </c>
      <c r="M17" s="12" t="s">
        <v>150</v>
      </c>
      <c r="N17" s="12" t="s">
        <v>151</v>
      </c>
      <c r="O17" s="12"/>
      <c r="P17" s="12" t="s">
        <v>75</v>
      </c>
      <c r="Q17" s="14">
        <v>46239</v>
      </c>
      <c r="R17" s="12"/>
    </row>
    <row r="18" spans="1:18" ht="15">
      <c r="A18" s="12" t="s">
        <v>152</v>
      </c>
      <c r="B18" s="12" t="s">
        <v>153</v>
      </c>
      <c r="C18" s="12" t="s">
        <v>154</v>
      </c>
      <c r="D18" s="12" t="s">
        <v>155</v>
      </c>
      <c r="E18" s="12" t="s">
        <v>156</v>
      </c>
      <c r="F18" s="12" t="s">
        <v>157</v>
      </c>
      <c r="G18" s="12" t="s">
        <v>158</v>
      </c>
      <c r="H18" s="13">
        <v>25000</v>
      </c>
      <c r="I18" s="13">
        <v>2005</v>
      </c>
      <c r="J18" s="12" t="s">
        <v>159</v>
      </c>
      <c r="K18" s="12"/>
      <c r="L18" s="12" t="s">
        <v>160</v>
      </c>
      <c r="M18" s="12" t="s">
        <v>160</v>
      </c>
      <c r="N18" s="12" t="s">
        <v>53</v>
      </c>
      <c r="O18" s="12" t="s">
        <v>161</v>
      </c>
      <c r="P18" s="12" t="s">
        <v>42</v>
      </c>
      <c r="Q18" s="14">
        <v>46239</v>
      </c>
      <c r="R18" s="12"/>
    </row>
    <row r="19" spans="1:18" ht="15">
      <c r="A19" s="12" t="s">
        <v>162</v>
      </c>
      <c r="B19" s="12" t="s">
        <v>163</v>
      </c>
      <c r="C19" s="12" t="s">
        <v>164</v>
      </c>
      <c r="D19" s="12" t="s">
        <v>165</v>
      </c>
      <c r="E19" s="12" t="s">
        <v>166</v>
      </c>
      <c r="F19" s="12" t="s">
        <v>48</v>
      </c>
      <c r="G19" s="12" t="s">
        <v>167</v>
      </c>
      <c r="H19" s="13">
        <v>10000</v>
      </c>
      <c r="I19" s="13">
        <v>1981</v>
      </c>
      <c r="J19" s="12" t="s">
        <v>168</v>
      </c>
      <c r="K19" s="12"/>
      <c r="L19" s="12" t="s">
        <v>73</v>
      </c>
      <c r="M19" s="12" t="s">
        <v>73</v>
      </c>
      <c r="N19" s="12" t="s">
        <v>74</v>
      </c>
      <c r="O19" s="12"/>
      <c r="P19" s="12" t="s">
        <v>42</v>
      </c>
      <c r="Q19" s="14">
        <v>46239</v>
      </c>
      <c r="R19" s="12"/>
    </row>
    <row r="20" spans="1:18" ht="15">
      <c r="A20" s="12" t="s">
        <v>169</v>
      </c>
      <c r="B20" s="12" t="s">
        <v>170</v>
      </c>
      <c r="C20" s="12" t="s">
        <v>171</v>
      </c>
      <c r="D20" s="12" t="s">
        <v>172</v>
      </c>
      <c r="E20" s="12" t="s">
        <v>173</v>
      </c>
      <c r="F20" s="12" t="s">
        <v>174</v>
      </c>
      <c r="G20" s="12" t="s">
        <v>175</v>
      </c>
      <c r="H20" s="13">
        <v>12000</v>
      </c>
      <c r="I20" s="13">
        <v>1944</v>
      </c>
      <c r="J20" s="12" t="s">
        <v>176</v>
      </c>
      <c r="K20" s="12"/>
      <c r="L20" s="12" t="s">
        <v>84</v>
      </c>
      <c r="M20" s="12" t="s">
        <v>84</v>
      </c>
      <c r="N20" s="12" t="s">
        <v>111</v>
      </c>
      <c r="O20" s="12"/>
      <c r="P20" s="12" t="s">
        <v>75</v>
      </c>
      <c r="Q20" s="14">
        <v>46239</v>
      </c>
      <c r="R20" s="12"/>
    </row>
    <row r="21" spans="1:18" ht="15">
      <c r="A21" s="15" t="s">
        <v>177</v>
      </c>
      <c r="B21" s="15" t="s">
        <v>178</v>
      </c>
      <c r="C21" s="15" t="s">
        <v>179</v>
      </c>
      <c r="D21" s="15" t="s">
        <v>180</v>
      </c>
      <c r="E21" s="15" t="s">
        <v>181</v>
      </c>
      <c r="F21" s="15" t="s">
        <v>34</v>
      </c>
      <c r="G21" s="15" t="s">
        <v>182</v>
      </c>
      <c r="H21" s="16">
        <v>10000</v>
      </c>
      <c r="I21" s="16">
        <v>2020</v>
      </c>
      <c r="J21" s="15" t="s">
        <v>183</v>
      </c>
      <c r="K21" s="15"/>
      <c r="L21" s="15" t="s">
        <v>73</v>
      </c>
      <c r="M21" s="15" t="s">
        <v>73</v>
      </c>
      <c r="N21" s="15" t="s">
        <v>74</v>
      </c>
      <c r="O21" s="15"/>
      <c r="P21" s="15" t="s">
        <v>75</v>
      </c>
      <c r="Q21" s="17">
        <v>46239</v>
      </c>
      <c r="R21" s="15"/>
    </row>
  </sheetData>
  <mergeCells count="2">
    <mergeCell ref="A1:R2"/>
    <mergeCell ref="A3:R3"/>
  </mergeCells>
  <conditionalFormatting sqref="P6:P21">
    <cfRule type="containsText" dxfId="1" priority="1" operator="containsText" text="Atualizado"/>
    <cfRule type="containsText" dxfId="0" priority="2" operator="containsText" text="Por confirmar"/>
  </conditionalFormatting>
  <dataValidations count="1">
    <dataValidation type="list" sqref="P6:P21" xr:uid="{00000000-0002-0000-0100-000000000000}">
      <formula1>"Atualizado,Por confirmar"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workbookViewId="0"/>
  </sheetViews>
  <sheetFormatPr baseColWidth="10" defaultColWidth="8.83203125" defaultRowHeight="14"/>
  <cols>
    <col min="1" max="1" width="28" customWidth="1"/>
    <col min="2" max="2" width="18" customWidth="1"/>
    <col min="3" max="3" width="19" customWidth="1"/>
    <col min="4" max="5" width="16" customWidth="1"/>
    <col min="6" max="6" width="18" customWidth="1"/>
    <col min="7" max="7" width="45" customWidth="1"/>
  </cols>
  <sheetData>
    <row r="1" spans="1:7">
      <c r="A1" s="31" t="s">
        <v>184</v>
      </c>
      <c r="B1" s="31"/>
      <c r="C1" s="31"/>
      <c r="D1" s="31"/>
      <c r="E1" s="31"/>
      <c r="F1" s="31"/>
      <c r="G1" s="31"/>
    </row>
    <row r="2" spans="1:7">
      <c r="A2" s="31"/>
      <c r="B2" s="31"/>
      <c r="C2" s="31"/>
      <c r="D2" s="31"/>
      <c r="E2" s="31"/>
      <c r="F2" s="31"/>
      <c r="G2" s="31"/>
    </row>
    <row r="3" spans="1:7" ht="15">
      <c r="A3" s="32" t="s">
        <v>185</v>
      </c>
      <c r="B3" s="32"/>
      <c r="C3" s="32"/>
      <c r="D3" s="32"/>
      <c r="E3" s="32"/>
      <c r="F3" s="32"/>
      <c r="G3" s="32"/>
    </row>
    <row r="5" spans="1:7" ht="36" customHeight="1">
      <c r="A5" s="8" t="s">
        <v>12</v>
      </c>
      <c r="B5" s="8" t="s">
        <v>186</v>
      </c>
      <c r="C5" s="8" t="s">
        <v>187</v>
      </c>
      <c r="D5" s="8" t="s">
        <v>188</v>
      </c>
      <c r="E5" s="8" t="s">
        <v>189</v>
      </c>
      <c r="F5" s="8" t="s">
        <v>190</v>
      </c>
      <c r="G5" s="8" t="s">
        <v>191</v>
      </c>
    </row>
    <row r="6" spans="1:7" ht="15">
      <c r="A6" s="9" t="s">
        <v>30</v>
      </c>
      <c r="B6" s="10">
        <v>20</v>
      </c>
      <c r="C6" s="10">
        <v>15</v>
      </c>
      <c r="D6" s="10">
        <v>9</v>
      </c>
      <c r="E6" s="10">
        <v>0</v>
      </c>
      <c r="F6" s="18">
        <f t="shared" ref="F6:F21" si="0">SUM(B6:E6)</f>
        <v>44</v>
      </c>
      <c r="G6" s="9" t="s">
        <v>192</v>
      </c>
    </row>
    <row r="7" spans="1:7" ht="15">
      <c r="A7" s="12" t="s">
        <v>44</v>
      </c>
      <c r="B7" s="13">
        <v>0</v>
      </c>
      <c r="C7" s="13">
        <v>1</v>
      </c>
      <c r="D7" s="13">
        <v>0</v>
      </c>
      <c r="E7" s="13">
        <v>1</v>
      </c>
      <c r="F7" s="19">
        <f t="shared" si="0"/>
        <v>2</v>
      </c>
      <c r="G7" s="12" t="s">
        <v>193</v>
      </c>
    </row>
    <row r="8" spans="1:7" ht="15">
      <c r="A8" s="12" t="s">
        <v>56</v>
      </c>
      <c r="B8" s="13">
        <v>13</v>
      </c>
      <c r="C8" s="13">
        <v>6</v>
      </c>
      <c r="D8" s="13">
        <v>10</v>
      </c>
      <c r="E8" s="13">
        <v>0</v>
      </c>
      <c r="F8" s="19">
        <f t="shared" si="0"/>
        <v>29</v>
      </c>
      <c r="G8" s="12" t="s">
        <v>194</v>
      </c>
    </row>
    <row r="9" spans="1:7" ht="15">
      <c r="A9" s="12" t="s">
        <v>66</v>
      </c>
      <c r="B9" s="13">
        <v>0</v>
      </c>
      <c r="C9" s="13">
        <v>0</v>
      </c>
      <c r="D9" s="13">
        <v>0</v>
      </c>
      <c r="E9" s="13">
        <v>0</v>
      </c>
      <c r="F9" s="19">
        <f t="shared" si="0"/>
        <v>0</v>
      </c>
      <c r="G9" s="12" t="s">
        <v>75</v>
      </c>
    </row>
    <row r="10" spans="1:7" ht="15">
      <c r="A10" s="12" t="s">
        <v>77</v>
      </c>
      <c r="B10" s="13">
        <v>0</v>
      </c>
      <c r="C10" s="13">
        <v>1</v>
      </c>
      <c r="D10" s="13">
        <v>0</v>
      </c>
      <c r="E10" s="13">
        <v>0</v>
      </c>
      <c r="F10" s="19">
        <f t="shared" si="0"/>
        <v>1</v>
      </c>
      <c r="G10" s="12" t="s">
        <v>195</v>
      </c>
    </row>
    <row r="11" spans="1:7" ht="15">
      <c r="A11" s="12" t="s">
        <v>88</v>
      </c>
      <c r="B11" s="13">
        <v>1</v>
      </c>
      <c r="C11" s="13">
        <v>1</v>
      </c>
      <c r="D11" s="13">
        <v>1</v>
      </c>
      <c r="E11" s="13">
        <v>0</v>
      </c>
      <c r="F11" s="19">
        <f t="shared" si="0"/>
        <v>3</v>
      </c>
      <c r="G11" s="12" t="s">
        <v>196</v>
      </c>
    </row>
    <row r="12" spans="1:7" ht="15">
      <c r="A12" s="12" t="s">
        <v>95</v>
      </c>
      <c r="B12" s="13">
        <v>1</v>
      </c>
      <c r="C12" s="13">
        <v>2</v>
      </c>
      <c r="D12" s="13">
        <v>0</v>
      </c>
      <c r="E12" s="13">
        <v>0</v>
      </c>
      <c r="F12" s="19">
        <f t="shared" si="0"/>
        <v>3</v>
      </c>
      <c r="G12" s="12" t="s">
        <v>197</v>
      </c>
    </row>
    <row r="13" spans="1:7" ht="15">
      <c r="A13" s="12" t="s">
        <v>105</v>
      </c>
      <c r="B13" s="13">
        <v>0</v>
      </c>
      <c r="C13" s="13">
        <v>3</v>
      </c>
      <c r="D13" s="13">
        <v>1</v>
      </c>
      <c r="E13" s="13">
        <v>0</v>
      </c>
      <c r="F13" s="19">
        <f t="shared" si="0"/>
        <v>4</v>
      </c>
      <c r="G13" s="12" t="s">
        <v>197</v>
      </c>
    </row>
    <row r="14" spans="1:7" ht="15">
      <c r="A14" s="12" t="s">
        <v>114</v>
      </c>
      <c r="B14" s="13">
        <v>0</v>
      </c>
      <c r="C14" s="13">
        <v>0</v>
      </c>
      <c r="D14" s="13">
        <v>0</v>
      </c>
      <c r="E14" s="13">
        <v>0</v>
      </c>
      <c r="F14" s="19">
        <f t="shared" si="0"/>
        <v>0</v>
      </c>
      <c r="G14" s="12" t="s">
        <v>75</v>
      </c>
    </row>
    <row r="15" spans="1:7" ht="15">
      <c r="A15" s="12" t="s">
        <v>123</v>
      </c>
      <c r="B15" s="13">
        <v>4</v>
      </c>
      <c r="C15" s="13">
        <v>1</v>
      </c>
      <c r="D15" s="13">
        <v>2</v>
      </c>
      <c r="E15" s="13">
        <v>0</v>
      </c>
      <c r="F15" s="19">
        <f t="shared" si="0"/>
        <v>7</v>
      </c>
      <c r="G15" s="12" t="s">
        <v>198</v>
      </c>
    </row>
    <row r="16" spans="1:7" ht="15">
      <c r="A16" s="12" t="s">
        <v>133</v>
      </c>
      <c r="B16" s="13">
        <v>0</v>
      </c>
      <c r="C16" s="13">
        <v>0</v>
      </c>
      <c r="D16" s="13">
        <v>0</v>
      </c>
      <c r="E16" s="13">
        <v>0</v>
      </c>
      <c r="F16" s="19">
        <f t="shared" si="0"/>
        <v>0</v>
      </c>
      <c r="G16" s="12" t="s">
        <v>75</v>
      </c>
    </row>
    <row r="17" spans="1:7" ht="15">
      <c r="A17" s="12" t="s">
        <v>143</v>
      </c>
      <c r="B17" s="13">
        <v>0</v>
      </c>
      <c r="C17" s="13">
        <v>0</v>
      </c>
      <c r="D17" s="13">
        <v>0</v>
      </c>
      <c r="E17" s="13">
        <v>0</v>
      </c>
      <c r="F17" s="19">
        <f t="shared" si="0"/>
        <v>0</v>
      </c>
      <c r="G17" s="12" t="s">
        <v>75</v>
      </c>
    </row>
    <row r="18" spans="1:7" ht="15">
      <c r="A18" s="12" t="s">
        <v>153</v>
      </c>
      <c r="B18" s="13">
        <v>0</v>
      </c>
      <c r="C18" s="13">
        <v>0</v>
      </c>
      <c r="D18" s="13">
        <v>0</v>
      </c>
      <c r="E18" s="13">
        <v>0</v>
      </c>
      <c r="F18" s="19">
        <f t="shared" si="0"/>
        <v>0</v>
      </c>
      <c r="G18" s="12" t="s">
        <v>75</v>
      </c>
    </row>
    <row r="19" spans="1:7" ht="15">
      <c r="A19" s="12" t="s">
        <v>163</v>
      </c>
      <c r="B19" s="13">
        <v>2</v>
      </c>
      <c r="C19" s="13">
        <v>3</v>
      </c>
      <c r="D19" s="13">
        <v>1</v>
      </c>
      <c r="E19" s="13">
        <v>2</v>
      </c>
      <c r="F19" s="19">
        <f t="shared" si="0"/>
        <v>8</v>
      </c>
      <c r="G19" s="12" t="s">
        <v>199</v>
      </c>
    </row>
    <row r="20" spans="1:7" ht="15">
      <c r="A20" s="12" t="s">
        <v>170</v>
      </c>
      <c r="B20" s="13">
        <v>0</v>
      </c>
      <c r="C20" s="13">
        <v>0</v>
      </c>
      <c r="D20" s="13">
        <v>0</v>
      </c>
      <c r="E20" s="13">
        <v>0</v>
      </c>
      <c r="F20" s="19">
        <f t="shared" si="0"/>
        <v>0</v>
      </c>
      <c r="G20" s="12" t="s">
        <v>75</v>
      </c>
    </row>
    <row r="21" spans="1:7" ht="15">
      <c r="A21" s="15" t="s">
        <v>178</v>
      </c>
      <c r="B21" s="16">
        <v>0</v>
      </c>
      <c r="C21" s="16">
        <v>0</v>
      </c>
      <c r="D21" s="16">
        <v>0</v>
      </c>
      <c r="E21" s="16">
        <v>0</v>
      </c>
      <c r="F21" s="19">
        <f t="shared" si="0"/>
        <v>0</v>
      </c>
      <c r="G21" s="15" t="s">
        <v>75</v>
      </c>
    </row>
  </sheetData>
  <mergeCells count="2">
    <mergeCell ref="A1:G2"/>
    <mergeCell ref="A3:G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Clubes</vt:lpstr>
      <vt:lpstr>Palmarés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Nsungu Filipe Kamukotelo</cp:lastModifiedBy>
  <dcterms:modified xsi:type="dcterms:W3CDTF">2026-08-05T16:55:24Z</dcterms:modified>
</cp:coreProperties>
</file>